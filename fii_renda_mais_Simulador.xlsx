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l\Downloads\DIO\Projeto_Reclame_Aqui\"/>
    </mc:Choice>
  </mc:AlternateContent>
  <xr:revisionPtr revIDLastSave="0" documentId="13_ncr:1_{9CBA1F63-3AA0-4EB1-BFB3-3AD2A23FAB3F}" xr6:coauthVersionLast="47" xr6:coauthVersionMax="47" xr10:uidLastSave="{00000000-0000-0000-0000-000000000000}"/>
  <bookViews>
    <workbookView xWindow="-108" yWindow="-108" windowWidth="23256" windowHeight="12456" activeTab="1" xr2:uid="{881680CF-3400-4529-813E-DCB2D8AA9CF6}"/>
  </bookViews>
  <sheets>
    <sheet name="Simulador" sheetId="1" r:id="rId1"/>
    <sheet name="Tabela de Apoio" sheetId="2" r:id="rId2"/>
  </sheets>
  <definedNames>
    <definedName name="aporte_mensal">Simulador!$B$12</definedName>
    <definedName name="aporte_sugerido">Simulador!$B$8</definedName>
    <definedName name="dividendo_mensal">Simulador!$B$17</definedName>
    <definedName name="lista_perfis">'Tabela de Apoio'!$F$4:$F$6</definedName>
    <definedName name="meta_renda">Simulador!$B$22</definedName>
    <definedName name="patrimonio_final">Simulador!$B$16</definedName>
    <definedName name="patrimonio_meta">Simulador!$B$23</definedName>
    <definedName name="pct_salario">Simulador!$B$7</definedName>
    <definedName name="perfil_escolhido">Simulador!$B$9</definedName>
    <definedName name="Perfis">Simulador!$B$9</definedName>
    <definedName name="prazo_anos">Simulador!$B$13</definedName>
    <definedName name="rendimento_carteira">Simulador!$B$15</definedName>
    <definedName name="salario">Simulador!$B$6</definedName>
    <definedName name="Salário_mensal">Simulador!$B$6</definedName>
    <definedName name="taxa_mensal">Simulador!$B$14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7" i="1" s="1"/>
  <c r="B32" i="1"/>
  <c r="C32" i="1" s="1"/>
  <c r="B30" i="1"/>
  <c r="B23" i="1"/>
  <c r="B18" i="1"/>
  <c r="C30" i="1"/>
  <c r="B42" i="1"/>
  <c r="B43" i="1"/>
  <c r="B44" i="1"/>
  <c r="B45" i="1"/>
  <c r="B46" i="1"/>
  <c r="B41" i="1"/>
  <c r="B38" i="1"/>
  <c r="B37" i="1"/>
  <c r="B31" i="1"/>
  <c r="C31" i="1" s="1"/>
  <c r="B33" i="1"/>
  <c r="C33" i="1" s="1"/>
  <c r="B34" i="1"/>
  <c r="C34" i="1" s="1"/>
  <c r="B8" i="1"/>
  <c r="G5" i="2"/>
  <c r="G6" i="2"/>
  <c r="G4" i="2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B19" i="1" l="1"/>
  <c r="A26" i="1"/>
  <c r="B25" i="1"/>
  <c r="B24" i="1"/>
  <c r="D42" i="1"/>
  <c r="C42" i="1"/>
  <c r="D43" i="1"/>
  <c r="C43" i="1"/>
  <c r="D44" i="1"/>
  <c r="C44" i="1"/>
  <c r="D45" i="1"/>
  <c r="C45" i="1"/>
  <c r="D46" i="1"/>
  <c r="C46" i="1"/>
  <c r="D41" i="1"/>
  <c r="C41" i="1"/>
  <c r="B47" i="1"/>
  <c r="D47" i="1" l="1"/>
  <c r="C47" i="1"/>
</calcChain>
</file>

<file path=xl/sharedStrings.xml><?xml version="1.0" encoding="utf-8"?>
<sst xmlns="http://schemas.openxmlformats.org/spreadsheetml/2006/main" count="88" uniqueCount="50">
  <si>
    <t>Simulação educacional (valores de exemplo, não é recomendação). Amarelo = você preenche; cinza = calculado.</t>
  </si>
  <si>
    <t>PONTO DE PARTIDA</t>
  </si>
  <si>
    <t>Salário mensal</t>
  </si>
  <si>
    <t>% do salário que vou separar</t>
  </si>
  <si>
    <t>Aporte sugerido (salário × %)</t>
  </si>
  <si>
    <t>SIMULAÇÃO</t>
  </si>
  <si>
    <t>Quanto investir por mês?</t>
  </si>
  <si>
    <t>Por quantos anos? (1 a 30)</t>
  </si>
  <si>
    <t>Taxa de rendimento mensal (retorno total)</t>
  </si>
  <si>
    <t>Rendimento mensal pago em dividendos</t>
  </si>
  <si>
    <t>Patrimônio acumulado</t>
  </si>
  <si>
    <t>Dividendos por mês</t>
  </si>
  <si>
    <t>Total que saiu do meu bolso</t>
  </si>
  <si>
    <t>Dividendo mensal como % do salário</t>
  </si>
  <si>
    <t>META DE RENDA PASSIVA</t>
  </si>
  <si>
    <t>Renda passiva mensal que eu quero</t>
  </si>
  <si>
    <t>Patrimônio necessário (meta ÷ rendimento)</t>
  </si>
  <si>
    <t>Aporte mensal necessário no prazo escolhido</t>
  </si>
  <si>
    <t>Anos para chegar lá com o meu aporte atual</t>
  </si>
  <si>
    <t>Prazo</t>
  </si>
  <si>
    <t>Dividendos/mês</t>
  </si>
  <si>
    <t>DIVISÃO DO APORTE PELO PERFIL</t>
  </si>
  <si>
    <t>Perfil Escolhido</t>
  </si>
  <si>
    <t>Aporte mensal a distribuir</t>
  </si>
  <si>
    <t>Tipo de FII</t>
  </si>
  <si>
    <t>% sugerido</t>
  </si>
  <si>
    <t>Aporte por mês</t>
  </si>
  <si>
    <t>TABELA DE APOIO: percentuais por perfil</t>
  </si>
  <si>
    <t>Cada perfil soma 100%. Percentuais autorais, de exemplo (não são recomendação). Edite os amarelos para testar outras divisões.</t>
  </si>
  <si>
    <t>Chave</t>
  </si>
  <si>
    <t>Perfil</t>
  </si>
  <si>
    <t>%</t>
  </si>
  <si>
    <t>Perfis (lista)</t>
  </si>
  <si>
    <t>Soma %</t>
  </si>
  <si>
    <t>Conservador</t>
  </si>
  <si>
    <t>Moderado</t>
  </si>
  <si>
    <t>Arrojado</t>
  </si>
  <si>
    <t>Papel (CRI)</t>
  </si>
  <si>
    <t>Lajes corporativas</t>
  </si>
  <si>
    <t>Logística</t>
  </si>
  <si>
    <t>Shoppings</t>
  </si>
  <si>
    <t>Desenvolvimento</t>
  </si>
  <si>
    <t>Total</t>
  </si>
  <si>
    <t>Patrimônio                       (seu aporte)</t>
  </si>
  <si>
    <t>Patrimônio final          por tipo</t>
  </si>
  <si>
    <t>Fundo de fundos (FOF)</t>
  </si>
  <si>
    <t>Meu perfil de investidor (escolha)</t>
  </si>
  <si>
    <t xml:space="preserve">$ FII RENDA+  Invest|  Simulador de Renda Passiva  </t>
  </si>
  <si>
    <t xml:space="preserve">CENÁRIOS: SEU APORTE </t>
  </si>
  <si>
    <t>* Os resultados apresentados são estimativas obtidas a partir das premissas informadas e destinam-se exclusivamente a fins de simulação.                                                                                                  ** As taxas de rentabilidade e de distribuição de dividendos utilizadas não representam garantia ou promessa de resultados futuros, podendo variar conforme as condições de mercado e o desempenho dos fundos.                                                                                                                                                    *** As projeções não consideram, salvo indicação expressa, inflação, tributação, custos, taxas e demais fatores que possam impactar o resultado.                                                                                             **** As distribuições por perfil de investidor são parâmetros meramente ilustrativos e não constituem recomendação individualizada de investimento. Rentabilidade passada não garante resultados futuros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</si>
</sst>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0&quot; anos&quot;"/>
    <numFmt numFmtId="166" formatCode="&quot;R$&quot;\ #,##0.00"/>
    <numFmt numFmtId="167" formatCode="0.0%"/>
    <numFmt numFmtId="168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name val="Arial"/>
      <family val="2"/>
    </font>
    <font>
      <i/>
      <sz val="9"/>
      <color rgb="FF595959"/>
      <name val="Aptos"/>
      <family val="2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FF"/>
      <name val="Aptos"/>
      <family val="2"/>
    </font>
    <font>
      <sz val="11"/>
      <color theme="1" tint="0.499984740745262"/>
      <name val="Aptos"/>
      <family val="2"/>
    </font>
    <font>
      <b/>
      <sz val="11"/>
      <color rgb="FF0000FF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9"/>
      <color theme="1" tint="0.499984740745262"/>
      <name val="Aptos"/>
      <family val="2"/>
    </font>
    <font>
      <b/>
      <sz val="16"/>
      <color rgb="FFFFFFFF"/>
      <name val="Aptos"/>
      <family val="2"/>
    </font>
    <font>
      <b/>
      <sz val="11"/>
      <color rgb="FF0B3C49"/>
      <name val="Arial"/>
      <family val="2"/>
    </font>
    <font>
      <i/>
      <sz val="9"/>
      <color rgb="FF262626"/>
      <name val="Aptos"/>
      <family val="2"/>
    </font>
    <font>
      <b/>
      <sz val="11"/>
      <name val="Arial"/>
      <family val="2"/>
    </font>
    <font>
      <sz val="11"/>
      <color theme="4" tint="-0.249977111117893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0B3C49"/>
        <bgColor rgb="FF003300"/>
      </patternFill>
    </fill>
    <fill>
      <patternFill patternType="solid">
        <fgColor rgb="FF2A7F8E"/>
        <bgColor rgb="FF008080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F0F2"/>
      </patternFill>
    </fill>
    <fill>
      <patternFill patternType="solid">
        <fgColor rgb="FFDDF0F2"/>
        <bgColor rgb="FFE7E6E6"/>
      </patternFill>
    </fill>
    <fill>
      <patternFill patternType="solid">
        <fgColor theme="0"/>
        <bgColor rgb="FFE7E6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9333F"/>
        <bgColor rgb="FF003300"/>
      </patternFill>
    </fill>
    <fill>
      <patternFill patternType="solid">
        <fgColor theme="0"/>
        <bgColor rgb="FF003300"/>
      </patternFill>
    </fill>
    <fill>
      <patternFill patternType="solid">
        <fgColor theme="0"/>
        <bgColor rgb="FFDDF0F2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4" fillId="2" borderId="1" xfId="1" applyFont="1" applyFill="1" applyBorder="1"/>
    <xf numFmtId="0" fontId="5" fillId="0" borderId="0" xfId="0" applyFont="1"/>
    <xf numFmtId="0" fontId="6" fillId="0" borderId="1" xfId="1" applyFont="1" applyBorder="1"/>
    <xf numFmtId="9" fontId="7" fillId="7" borderId="0" xfId="1" applyNumberFormat="1" applyFont="1" applyFill="1"/>
    <xf numFmtId="0" fontId="8" fillId="0" borderId="0" xfId="0" applyFont="1"/>
    <xf numFmtId="0" fontId="11" fillId="6" borderId="1" xfId="0" applyFont="1" applyFill="1" applyBorder="1" applyAlignment="1">
      <alignment horizontal="center" vertical="center" wrapText="1"/>
    </xf>
    <xf numFmtId="0" fontId="12" fillId="0" borderId="0" xfId="0" applyFont="1"/>
    <xf numFmtId="0" fontId="5" fillId="0" borderId="2" xfId="0" applyFont="1" applyBorder="1"/>
    <xf numFmtId="9" fontId="7" fillId="4" borderId="3" xfId="1" applyNumberFormat="1" applyFont="1" applyFill="1" applyBorder="1"/>
    <xf numFmtId="0" fontId="4" fillId="2" borderId="4" xfId="1" applyFont="1" applyFill="1" applyBorder="1"/>
    <xf numFmtId="0" fontId="4" fillId="2" borderId="5" xfId="1" applyFont="1" applyFill="1" applyBorder="1"/>
    <xf numFmtId="0" fontId="4" fillId="2" borderId="6" xfId="1" applyFont="1" applyFill="1" applyBorder="1"/>
    <xf numFmtId="0" fontId="5" fillId="0" borderId="7" xfId="0" applyFont="1" applyBorder="1"/>
    <xf numFmtId="0" fontId="6" fillId="0" borderId="8" xfId="1" applyFont="1" applyBorder="1"/>
    <xf numFmtId="9" fontId="7" fillId="4" borderId="9" xfId="1" applyNumberFormat="1" applyFont="1" applyFill="1" applyBorder="1"/>
    <xf numFmtId="0" fontId="5" fillId="0" borderId="1" xfId="0" applyFont="1" applyBorder="1" applyAlignment="1">
      <alignment vertical="center"/>
    </xf>
    <xf numFmtId="166" fontId="9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9" fontId="9" fillId="4" borderId="1" xfId="0" applyNumberFormat="1" applyFont="1" applyFill="1" applyBorder="1" applyAlignment="1">
      <alignment horizontal="right" vertical="center"/>
    </xf>
    <xf numFmtId="10" fontId="9" fillId="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166" fontId="2" fillId="5" borderId="1" xfId="0" applyNumberFormat="1" applyFont="1" applyFill="1" applyBorder="1" applyAlignment="1">
      <alignment horizontal="right" vertical="center"/>
    </xf>
    <xf numFmtId="167" fontId="2" fillId="5" borderId="1" xfId="0" applyNumberFormat="1" applyFont="1" applyFill="1" applyBorder="1" applyAlignment="1">
      <alignment horizontal="right" vertical="center"/>
    </xf>
    <xf numFmtId="168" fontId="2" fillId="5" borderId="1" xfId="0" applyNumberFormat="1" applyFont="1" applyFill="1" applyBorder="1" applyAlignment="1">
      <alignment horizontal="right" vertical="center"/>
    </xf>
    <xf numFmtId="0" fontId="14" fillId="7" borderId="0" xfId="0" applyFont="1" applyFill="1" applyAlignment="1">
      <alignment vertical="center"/>
    </xf>
    <xf numFmtId="165" fontId="7" fillId="0" borderId="1" xfId="1" applyNumberFormat="1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9" fontId="2" fillId="5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right" vertical="center"/>
    </xf>
    <xf numFmtId="0" fontId="13" fillId="10" borderId="0" xfId="0" applyFont="1" applyFill="1" applyAlignment="1">
      <alignment vertical="center" indent="1"/>
    </xf>
    <xf numFmtId="9" fontId="7" fillId="4" borderId="1" xfId="1" applyNumberFormat="1" applyFont="1" applyFill="1" applyBorder="1"/>
    <xf numFmtId="0" fontId="17" fillId="8" borderId="1" xfId="0" applyFont="1" applyFill="1" applyBorder="1"/>
    <xf numFmtId="0" fontId="17" fillId="0" borderId="1" xfId="0" applyFont="1" applyBorder="1"/>
    <xf numFmtId="0" fontId="11" fillId="0" borderId="0" xfId="0" applyFont="1" applyAlignment="1">
      <alignment vertical="center"/>
    </xf>
    <xf numFmtId="9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11" fillId="7" borderId="0" xfId="0" applyFont="1" applyFill="1" applyAlignment="1">
      <alignment horizontal="center" vertical="center" wrapText="1"/>
    </xf>
    <xf numFmtId="164" fontId="2" fillId="11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vertical="center"/>
    </xf>
    <xf numFmtId="0" fontId="3" fillId="0" borderId="0" xfId="1" applyFont="1" applyAlignment="1">
      <alignment horizontal="left"/>
    </xf>
    <xf numFmtId="0" fontId="13" fillId="9" borderId="10" xfId="0" applyFont="1" applyFill="1" applyBorder="1" applyAlignment="1">
      <alignment vertical="center" indent="1"/>
    </xf>
    <xf numFmtId="0" fontId="13" fillId="9" borderId="11" xfId="0" applyFont="1" applyFill="1" applyBorder="1" applyAlignment="1">
      <alignment vertical="center" indent="1"/>
    </xf>
    <xf numFmtId="0" fontId="15" fillId="0" borderId="0" xfId="0" applyFont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</cellXfs>
  <cellStyles count="2">
    <cellStyle name="Normal" xfId="0" builtinId="0"/>
    <cellStyle name="Normal 2" xfId="1" xr:uid="{B21F89F1-3A8A-44C1-91DE-DDFDCEF22FFF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"/>
        <family val="2"/>
        <scheme val="none"/>
      </font>
      <numFmt numFmtId="13" formatCode="0%"/>
      <fill>
        <patternFill patternType="solid">
          <fgColor rgb="FFE7E6E6"/>
          <bgColor rgb="FFFFF2CC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family val="2"/>
        <scheme val="none"/>
      </font>
      <fill>
        <patternFill patternType="solid">
          <fgColor rgb="FF003300"/>
          <bgColor rgb="FF0B3C49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mruColors>
      <color rgb="FF1C98BA"/>
      <color rgb="FF0933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Divisão por Aporte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Simulador!$B$40</c:f>
              <c:strCache>
                <c:ptCount val="1"/>
                <c:pt idx="0">
                  <c:v>% sugerido</c:v>
                </c:pt>
              </c:strCache>
            </c:strRef>
          </c:tx>
          <c:spPr>
            <a:ln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glow rad="127000">
                  <a:schemeClr val="bg1"/>
                </a:glow>
                <a:outerShdw blurRad="317500" algn="ctr" rotWithShape="0">
                  <a:schemeClr val="bg1">
                    <a:alpha val="2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88-419A-AF99-E9E0331CB3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8-419A-AF99-E9E0331CB3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88-419A-AF99-E9E0331CB3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88-419A-AF99-E9E0331CB3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88-419A-AF99-E9E0331CB3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88-419A-AF99-E9E0331CB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Simulador!$A$41:$A$46</c:f>
              <c:strCache>
                <c:ptCount val="6"/>
                <c:pt idx="0">
                  <c:v>Papel (CRI)</c:v>
                </c:pt>
                <c:pt idx="1">
                  <c:v>Lajes corporativas</c:v>
                </c:pt>
                <c:pt idx="2">
                  <c:v>Logística</c:v>
                </c:pt>
                <c:pt idx="3">
                  <c:v>Shoppings</c:v>
                </c:pt>
                <c:pt idx="4">
                  <c:v>Fundo de fundos (FOF)</c:v>
                </c:pt>
                <c:pt idx="5">
                  <c:v>Desenvolvimento</c:v>
                </c:pt>
              </c:strCache>
            </c:strRef>
          </c:cat>
          <c:val>
            <c:numRef>
              <c:f>Simulador!$B$41:$B$46</c:f>
              <c:numCache>
                <c:formatCode>0%</c:formatCode>
                <c:ptCount val="6"/>
                <c:pt idx="0">
                  <c:v>0.3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88-419A-AF99-E9E0331CB3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480060</xdr:colOff>
      <xdr:row>73</xdr:row>
      <xdr:rowOff>22860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2B52EBA-D713-EDDA-F595-F4DF2045DC4D}"/>
            </a:ext>
          </a:extLst>
        </xdr:cNvPr>
        <xdr:cNvSpPr txBox="1"/>
      </xdr:nvSpPr>
      <xdr:spPr>
        <a:xfrm>
          <a:off x="9212580" y="10165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0</xdr:col>
      <xdr:colOff>1325880</xdr:colOff>
      <xdr:row>48</xdr:row>
      <xdr:rowOff>167640</xdr:rowOff>
    </xdr:from>
    <xdr:to>
      <xdr:col>2</xdr:col>
      <xdr:colOff>1295400</xdr:colOff>
      <xdr:row>66</xdr:row>
      <xdr:rowOff>129540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A51564E-828E-45A0-9768-694F9F364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6F86B-AEDE-4446-B7D4-ED15BB36284B}" name="TabeladeApoio" displayName="TabeladeApoio" ref="A3:D21" totalsRowShown="0" headerRowDxfId="7" headerRowBorderDxfId="6" tableBorderDxfId="5" totalsRowBorderDxfId="4" headerRowCellStyle="Normal 2">
  <autoFilter ref="A3:D21" xr:uid="{6856F86B-AEDE-4446-B7D4-ED15BB36284B}"/>
  <tableColumns count="4">
    <tableColumn id="1" xr3:uid="{965C8AC2-3C69-45EB-BDDF-1FEB2C8C1DEC}" name="Chave" dataDxfId="3">
      <calculatedColumnFormula>B4&amp;"|"&amp;C4</calculatedColumnFormula>
    </tableColumn>
    <tableColumn id="2" xr3:uid="{93A40515-4D9C-49EB-A61B-8F3E186C1CBA}" name="Perfil" dataDxfId="2" dataCellStyle="Normal 2"/>
    <tableColumn id="3" xr3:uid="{049AEEA2-E55C-43B8-A60E-BD5F08C3EF05}" name="Tipo de FII" dataDxfId="1" dataCellStyle="Normal 2"/>
    <tableColumn id="4" xr3:uid="{B3FD56B5-048D-4F92-B570-DC20EB7040BB}" name="%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5DEA-6883-4E95-AF44-1135D6A0330A}">
  <dimension ref="A1:E71"/>
  <sheetViews>
    <sheetView showGridLines="0" zoomScale="90" zoomScaleNormal="90" workbookViewId="0">
      <selection activeCell="D71" sqref="D71"/>
    </sheetView>
  </sheetViews>
  <sheetFormatPr defaultColWidth="0" defaultRowHeight="14.4" x14ac:dyDescent="0.3"/>
  <cols>
    <col min="1" max="1" width="44.88671875" customWidth="1"/>
    <col min="2" max="2" width="24" customWidth="1"/>
    <col min="3" max="3" width="19" customWidth="1"/>
    <col min="4" max="4" width="22.109375" customWidth="1"/>
    <col min="5" max="5" width="8.88671875" customWidth="1"/>
    <col min="6" max="16384" width="8.88671875" hidden="1"/>
  </cols>
  <sheetData>
    <row r="1" spans="1:4" ht="15" thickBot="1" x14ac:dyDescent="0.35"/>
    <row r="2" spans="1:4" ht="49.2" customHeight="1" thickTop="1" thickBot="1" x14ac:dyDescent="0.35">
      <c r="A2" s="44" t="s">
        <v>47</v>
      </c>
      <c r="B2" s="45"/>
      <c r="C2" s="45"/>
      <c r="D2" s="45"/>
    </row>
    <row r="3" spans="1:4" ht="15" thickTop="1" x14ac:dyDescent="0.3">
      <c r="A3" s="50" t="s">
        <v>0</v>
      </c>
      <c r="B3" s="50"/>
      <c r="C3" s="50"/>
      <c r="D3" s="5"/>
    </row>
    <row r="4" spans="1:4" x14ac:dyDescent="0.3">
      <c r="A4" s="2"/>
      <c r="B4" s="2"/>
      <c r="C4" s="2"/>
      <c r="D4" s="2"/>
    </row>
    <row r="5" spans="1:4" x14ac:dyDescent="0.3">
      <c r="A5" s="47" t="s">
        <v>1</v>
      </c>
      <c r="B5" s="47"/>
      <c r="C5" s="47"/>
      <c r="D5" s="47"/>
    </row>
    <row r="6" spans="1:4" x14ac:dyDescent="0.3">
      <c r="A6" s="16" t="s">
        <v>2</v>
      </c>
      <c r="B6" s="17">
        <v>3000</v>
      </c>
      <c r="C6" s="18"/>
      <c r="D6" s="18"/>
    </row>
    <row r="7" spans="1:4" x14ac:dyDescent="0.3">
      <c r="A7" s="16" t="s">
        <v>3</v>
      </c>
      <c r="B7" s="19">
        <v>0.3</v>
      </c>
      <c r="C7" s="18"/>
      <c r="D7" s="18"/>
    </row>
    <row r="8" spans="1:4" x14ac:dyDescent="0.3">
      <c r="A8" s="16" t="s">
        <v>4</v>
      </c>
      <c r="B8" s="22">
        <f>salario*pct_salario</f>
        <v>900</v>
      </c>
      <c r="C8" s="18"/>
      <c r="D8" s="18"/>
    </row>
    <row r="9" spans="1:4" x14ac:dyDescent="0.3">
      <c r="A9" s="16" t="s">
        <v>46</v>
      </c>
      <c r="B9" s="31" t="s">
        <v>35</v>
      </c>
      <c r="C9" s="18"/>
      <c r="D9" s="18"/>
    </row>
    <row r="10" spans="1:4" x14ac:dyDescent="0.3">
      <c r="A10" s="18"/>
      <c r="B10" s="18"/>
      <c r="C10" s="18"/>
      <c r="D10" s="18"/>
    </row>
    <row r="11" spans="1:4" x14ac:dyDescent="0.3">
      <c r="A11" s="47" t="s">
        <v>5</v>
      </c>
      <c r="B11" s="47"/>
      <c r="C11" s="47"/>
      <c r="D11" s="47"/>
    </row>
    <row r="12" spans="1:4" x14ac:dyDescent="0.3">
      <c r="A12" s="16" t="s">
        <v>6</v>
      </c>
      <c r="B12" s="17">
        <v>400</v>
      </c>
      <c r="C12" s="18"/>
      <c r="D12" s="18"/>
    </row>
    <row r="13" spans="1:4" x14ac:dyDescent="0.3">
      <c r="A13" s="16" t="s">
        <v>7</v>
      </c>
      <c r="B13" s="31">
        <v>10</v>
      </c>
      <c r="C13" s="18"/>
      <c r="D13" s="18"/>
    </row>
    <row r="14" spans="1:4" x14ac:dyDescent="0.3">
      <c r="A14" s="16" t="s">
        <v>8</v>
      </c>
      <c r="B14" s="20">
        <v>8.9999999999999993E-3</v>
      </c>
      <c r="C14" s="18"/>
      <c r="D14" s="18"/>
    </row>
    <row r="15" spans="1:4" x14ac:dyDescent="0.3">
      <c r="A15" s="16" t="s">
        <v>9</v>
      </c>
      <c r="B15" s="20">
        <v>8.0000000000000002E-3</v>
      </c>
      <c r="C15" s="18"/>
      <c r="D15" s="18"/>
    </row>
    <row r="16" spans="1:4" x14ac:dyDescent="0.3">
      <c r="A16" s="21" t="s">
        <v>10</v>
      </c>
      <c r="B16" s="22">
        <f>FV(taxa_mensal,prazo_anos*12,-aporte_mensal)</f>
        <v>85799.466994231858</v>
      </c>
      <c r="C16" s="18"/>
      <c r="D16" s="18"/>
    </row>
    <row r="17" spans="1:4" x14ac:dyDescent="0.3">
      <c r="A17" s="21" t="s">
        <v>11</v>
      </c>
      <c r="B17" s="22">
        <f>patrimonio_final*rendimento_carteira</f>
        <v>686.39573595385491</v>
      </c>
      <c r="C17" s="18"/>
      <c r="D17" s="18"/>
    </row>
    <row r="18" spans="1:4" x14ac:dyDescent="0.3">
      <c r="A18" s="16" t="s">
        <v>12</v>
      </c>
      <c r="B18" s="22">
        <f>aporte_mensal*prazo_anos*12</f>
        <v>48000</v>
      </c>
      <c r="C18" s="18"/>
      <c r="D18" s="18"/>
    </row>
    <row r="19" spans="1:4" x14ac:dyDescent="0.3">
      <c r="A19" s="16" t="s">
        <v>13</v>
      </c>
      <c r="B19" s="23">
        <f>IF(salario=0,0,dividendo_mensal/salario)</f>
        <v>0.22879857865128497</v>
      </c>
      <c r="C19" s="18"/>
      <c r="D19" s="18"/>
    </row>
    <row r="20" spans="1:4" x14ac:dyDescent="0.3">
      <c r="A20" s="18"/>
      <c r="B20" s="18"/>
      <c r="C20" s="18"/>
      <c r="D20" s="18"/>
    </row>
    <row r="21" spans="1:4" x14ac:dyDescent="0.3">
      <c r="A21" s="47" t="s">
        <v>14</v>
      </c>
      <c r="B21" s="47"/>
      <c r="C21" s="47"/>
      <c r="D21" s="47"/>
    </row>
    <row r="22" spans="1:4" x14ac:dyDescent="0.3">
      <c r="A22" s="16" t="s">
        <v>15</v>
      </c>
      <c r="B22" s="17">
        <v>1500</v>
      </c>
      <c r="C22" s="18"/>
      <c r="D22" s="18"/>
    </row>
    <row r="23" spans="1:4" x14ac:dyDescent="0.3">
      <c r="A23" s="16" t="s">
        <v>16</v>
      </c>
      <c r="B23" s="22">
        <f>meta_renda/rendimento_carteira</f>
        <v>187500</v>
      </c>
      <c r="C23" s="18"/>
      <c r="D23" s="18"/>
    </row>
    <row r="24" spans="1:4" x14ac:dyDescent="0.3">
      <c r="A24" s="21" t="s">
        <v>17</v>
      </c>
      <c r="B24" s="22">
        <f>PMT(taxa_mensal,prazo_anos*12,0,-patrimonio_meta)</f>
        <v>874.13130439424526</v>
      </c>
      <c r="C24" s="18"/>
      <c r="D24" s="18"/>
    </row>
    <row r="25" spans="1:4" x14ac:dyDescent="0.3">
      <c r="A25" s="21" t="s">
        <v>18</v>
      </c>
      <c r="B25" s="24">
        <f>IFERROR(NPER(taxa_mensal,-aporte_mensal,0,patrimonio_meta)/12,"n/d")</f>
        <v>15.367425623819605</v>
      </c>
      <c r="C25" s="42"/>
      <c r="D25" s="18"/>
    </row>
    <row r="26" spans="1:4" ht="28.8" customHeight="1" x14ac:dyDescent="0.3">
      <c r="A26" s="48" t="str">
        <f>IF(dividendo_mensal&gt;=meta_renda,"Meta atingida no prazo escolhido.","Faltam R$ "&amp; FIXED(meta_renda-dividendo_mensal,2)&amp;" de dividendos por mês para a meta")</f>
        <v>Faltam R$ 813,60 de dividendos por mês para a meta</v>
      </c>
      <c r="B26" s="49"/>
      <c r="C26" s="25"/>
      <c r="D26" s="25"/>
    </row>
    <row r="27" spans="1:4" x14ac:dyDescent="0.3">
      <c r="A27" s="18"/>
      <c r="B27" s="18"/>
      <c r="C27" s="18"/>
      <c r="D27" s="18"/>
    </row>
    <row r="28" spans="1:4" x14ac:dyDescent="0.3">
      <c r="A28" s="47" t="s">
        <v>48</v>
      </c>
      <c r="B28" s="47"/>
      <c r="C28" s="47"/>
      <c r="D28" s="47"/>
    </row>
    <row r="29" spans="1:4" ht="28.8" x14ac:dyDescent="0.3">
      <c r="A29" s="6" t="s">
        <v>19</v>
      </c>
      <c r="B29" s="6" t="s">
        <v>43</v>
      </c>
      <c r="C29" s="6" t="s">
        <v>20</v>
      </c>
      <c r="D29" s="40"/>
    </row>
    <row r="30" spans="1:4" x14ac:dyDescent="0.3">
      <c r="A30" s="26">
        <v>2</v>
      </c>
      <c r="B30" s="27">
        <f>FV(taxa_mensal,$A30*12,-aporte_mensal)</f>
        <v>10662.390943204633</v>
      </c>
      <c r="C30" s="27">
        <f>B30*rendimento_carteira</f>
        <v>85.299127545637063</v>
      </c>
      <c r="D30" s="41"/>
    </row>
    <row r="31" spans="1:4" x14ac:dyDescent="0.3">
      <c r="A31" s="26">
        <v>5</v>
      </c>
      <c r="B31" s="27">
        <f>FV(taxa_mensal,$A31*12,-aporte_mensal)</f>
        <v>31638.525306764604</v>
      </c>
      <c r="C31" s="27">
        <f>B31*rendimento_carteira</f>
        <v>253.10820245411685</v>
      </c>
      <c r="D31" s="41"/>
    </row>
    <row r="32" spans="1:4" x14ac:dyDescent="0.3">
      <c r="A32" s="26">
        <v>10</v>
      </c>
      <c r="B32" s="27">
        <f>FV(taxa_mensal,$A32*12,-aporte_mensal)</f>
        <v>85799.466994231858</v>
      </c>
      <c r="C32" s="27">
        <f>B32*rendimento_carteira</f>
        <v>686.39573595385491</v>
      </c>
      <c r="D32" s="41"/>
    </row>
    <row r="33" spans="1:4" x14ac:dyDescent="0.3">
      <c r="A33" s="26">
        <v>20</v>
      </c>
      <c r="B33" s="27">
        <f>FV(taxa_mensal,$A33*12,-aporte_mensal)</f>
        <v>337233.77605958487</v>
      </c>
      <c r="C33" s="27">
        <f>B33*rendimento_carteira</f>
        <v>2697.8702084766792</v>
      </c>
      <c r="D33" s="41"/>
    </row>
    <row r="34" spans="1:4" x14ac:dyDescent="0.3">
      <c r="A34" s="26">
        <v>30</v>
      </c>
      <c r="B34" s="27">
        <f>FV(taxa_mensal,$A34*12,-aporte_mensal)</f>
        <v>1074059.0034170183</v>
      </c>
      <c r="C34" s="27">
        <f>B34*rendimento_carteira</f>
        <v>8592.4720273361472</v>
      </c>
      <c r="D34" s="41"/>
    </row>
    <row r="35" spans="1:4" x14ac:dyDescent="0.3">
      <c r="A35" s="18"/>
      <c r="B35" s="18"/>
      <c r="C35" s="18"/>
      <c r="D35" s="18"/>
    </row>
    <row r="36" spans="1:4" x14ac:dyDescent="0.3">
      <c r="A36" s="47" t="s">
        <v>21</v>
      </c>
      <c r="B36" s="47"/>
      <c r="C36" s="47"/>
      <c r="D36" s="47"/>
    </row>
    <row r="37" spans="1:4" x14ac:dyDescent="0.3">
      <c r="A37" s="16" t="s">
        <v>22</v>
      </c>
      <c r="B37" s="32" t="str">
        <f>perfil_escolhido</f>
        <v>Moderado</v>
      </c>
      <c r="C37" s="18"/>
      <c r="D37" s="18"/>
    </row>
    <row r="38" spans="1:4" x14ac:dyDescent="0.3">
      <c r="A38" s="16" t="s">
        <v>23</v>
      </c>
      <c r="B38" s="27">
        <f>aporte_mensal</f>
        <v>400</v>
      </c>
      <c r="C38" s="18"/>
      <c r="D38" s="18"/>
    </row>
    <row r="39" spans="1:4" x14ac:dyDescent="0.3">
      <c r="A39" s="18"/>
      <c r="B39" s="18"/>
      <c r="C39" s="18"/>
      <c r="D39" s="18"/>
    </row>
    <row r="40" spans="1:4" ht="28.8" x14ac:dyDescent="0.3">
      <c r="A40" s="6" t="s">
        <v>24</v>
      </c>
      <c r="B40" s="6" t="s">
        <v>25</v>
      </c>
      <c r="C40" s="6" t="s">
        <v>26</v>
      </c>
      <c r="D40" s="6" t="s">
        <v>44</v>
      </c>
    </row>
    <row r="41" spans="1:4" x14ac:dyDescent="0.3">
      <c r="A41" s="28" t="s">
        <v>37</v>
      </c>
      <c r="B41" s="29">
        <f>VLOOKUP(perfil_escolhido&amp;"|"&amp;$A41,TabeladeApoio[],4,FALSE())</f>
        <v>0.3</v>
      </c>
      <c r="C41" s="27">
        <f t="shared" ref="C41:C46" si="0">B41*aporte_mensal</f>
        <v>120</v>
      </c>
      <c r="D41" s="27">
        <f t="shared" ref="D41:D46" si="1">B41*patrimonio_final</f>
        <v>25739.840098269557</v>
      </c>
    </row>
    <row r="42" spans="1:4" x14ac:dyDescent="0.3">
      <c r="A42" s="28" t="s">
        <v>38</v>
      </c>
      <c r="B42" s="29">
        <f>VLOOKUP(perfil_escolhido&amp;"|"&amp;$A42,TabeladeApoio[],4,FALSE())</f>
        <v>0.1</v>
      </c>
      <c r="C42" s="27">
        <f t="shared" si="0"/>
        <v>40</v>
      </c>
      <c r="D42" s="27">
        <f t="shared" si="1"/>
        <v>8579.9466994231861</v>
      </c>
    </row>
    <row r="43" spans="1:4" x14ac:dyDescent="0.3">
      <c r="A43" s="28" t="s">
        <v>39</v>
      </c>
      <c r="B43" s="29">
        <f>VLOOKUP(perfil_escolhido&amp;"|"&amp;$A43,TabeladeApoio[],4,FALSE())</f>
        <v>0.2</v>
      </c>
      <c r="C43" s="27">
        <f t="shared" si="0"/>
        <v>80</v>
      </c>
      <c r="D43" s="27">
        <f t="shared" si="1"/>
        <v>17159.893398846372</v>
      </c>
    </row>
    <row r="44" spans="1:4" x14ac:dyDescent="0.3">
      <c r="A44" s="28" t="s">
        <v>40</v>
      </c>
      <c r="B44" s="29">
        <f>VLOOKUP(perfil_escolhido&amp;"|"&amp;$A44,TabeladeApoio[],4,FALSE())</f>
        <v>0.2</v>
      </c>
      <c r="C44" s="27">
        <f t="shared" si="0"/>
        <v>80</v>
      </c>
      <c r="D44" s="27">
        <f t="shared" si="1"/>
        <v>17159.893398846372</v>
      </c>
    </row>
    <row r="45" spans="1:4" x14ac:dyDescent="0.3">
      <c r="A45" s="28" t="s">
        <v>45</v>
      </c>
      <c r="B45" s="29">
        <f>VLOOKUP(perfil_escolhido&amp;"|"&amp;$A45,TabeladeApoio[],4,FALSE())</f>
        <v>0.1</v>
      </c>
      <c r="C45" s="27">
        <f t="shared" si="0"/>
        <v>40</v>
      </c>
      <c r="D45" s="27">
        <f t="shared" si="1"/>
        <v>8579.9466994231861</v>
      </c>
    </row>
    <row r="46" spans="1:4" x14ac:dyDescent="0.3">
      <c r="A46" s="28" t="s">
        <v>41</v>
      </c>
      <c r="B46" s="29">
        <f>VLOOKUP(perfil_escolhido&amp;"|"&amp;$A46,TabeladeApoio[],4,FALSE())</f>
        <v>0.1</v>
      </c>
      <c r="C46" s="27">
        <f t="shared" si="0"/>
        <v>40</v>
      </c>
      <c r="D46" s="27">
        <f t="shared" si="1"/>
        <v>8579.9466994231861</v>
      </c>
    </row>
    <row r="47" spans="1:4" x14ac:dyDescent="0.3">
      <c r="A47" s="30" t="s">
        <v>42</v>
      </c>
      <c r="B47" s="29">
        <f>SUM(B41:B46)</f>
        <v>1</v>
      </c>
      <c r="C47" s="27">
        <f>SUM(C41:C46)</f>
        <v>400</v>
      </c>
      <c r="D47" s="27">
        <f>SUM(D41:D46)</f>
        <v>85799.466994231872</v>
      </c>
    </row>
    <row r="48" spans="1:4" x14ac:dyDescent="0.3">
      <c r="A48" s="37"/>
      <c r="B48" s="38"/>
      <c r="C48" s="39"/>
      <c r="D48" s="39"/>
    </row>
    <row r="70" spans="1:2" x14ac:dyDescent="0.3">
      <c r="A70" s="7"/>
    </row>
    <row r="71" spans="1:2" ht="156" customHeight="1" x14ac:dyDescent="0.3">
      <c r="A71" s="46" t="s">
        <v>49</v>
      </c>
      <c r="B71" s="46"/>
    </row>
  </sheetData>
  <mergeCells count="9">
    <mergeCell ref="A71:B71"/>
    <mergeCell ref="A28:D28"/>
    <mergeCell ref="A36:D36"/>
    <mergeCell ref="A2:D2"/>
    <mergeCell ref="A5:D5"/>
    <mergeCell ref="A11:D11"/>
    <mergeCell ref="A21:D21"/>
    <mergeCell ref="A26:B26"/>
    <mergeCell ref="A3:C3"/>
  </mergeCells>
  <dataValidations count="2">
    <dataValidation type="decimal" operator="greaterThanOrEqual" showErrorMessage="1" errorTitle="Valor inválido" error="Digite um valor maior ou igual a zero." sqref="B12 B14:B15" xr:uid="{2E28F727-4BE2-4D8A-AC23-5948AB35F361}">
      <formula1>0</formula1>
      <formula2>0</formula2>
    </dataValidation>
    <dataValidation type="whole" showErrorMessage="1" errorTitle="Prazo inválido" error="Digite um número inteiro de 1 a 30." sqref="B13" xr:uid="{231F3D3C-E75C-4004-BAFC-5D96AFEBD2F2}">
      <formula1>1</formula1>
      <formula2>30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F8C18E-61AE-47F2-9A78-BA7B820303DB}">
          <x14:formula1>
            <xm:f>'Tabela de Apoio'!$F$4:$F$6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3DBC-0A13-4832-A996-ABA70322DBB7}">
  <dimension ref="A1:K21"/>
  <sheetViews>
    <sheetView showGridLines="0" tabSelected="1" workbookViewId="0">
      <selection activeCell="I1" sqref="I1:XFD1048576"/>
    </sheetView>
  </sheetViews>
  <sheetFormatPr defaultColWidth="0" defaultRowHeight="14.4" x14ac:dyDescent="0.3"/>
  <cols>
    <col min="1" max="1" width="32.6640625" bestFit="1" customWidth="1"/>
    <col min="2" max="2" width="12.109375" customWidth="1"/>
    <col min="3" max="3" width="20.6640625" bestFit="1" customWidth="1"/>
    <col min="4" max="4" width="8.33203125" customWidth="1"/>
    <col min="5" max="5" width="8.88671875" customWidth="1"/>
    <col min="6" max="6" width="12.5546875" bestFit="1" customWidth="1"/>
    <col min="7" max="7" width="9" bestFit="1" customWidth="1"/>
    <col min="8" max="8" width="8.88671875" customWidth="1"/>
    <col min="9" max="16384" width="8.88671875" hidden="1"/>
  </cols>
  <sheetData>
    <row r="1" spans="1:11" ht="22.2" thickTop="1" thickBot="1" x14ac:dyDescent="0.35">
      <c r="A1" s="44" t="s">
        <v>27</v>
      </c>
      <c r="B1" s="45"/>
      <c r="C1" s="45"/>
      <c r="D1" s="45"/>
      <c r="E1" s="33"/>
      <c r="F1" s="33"/>
      <c r="G1" s="2"/>
      <c r="H1" s="2"/>
      <c r="I1" s="2"/>
      <c r="J1" s="2"/>
      <c r="K1" s="2"/>
    </row>
    <row r="2" spans="1:11" ht="15" thickTop="1" x14ac:dyDescent="0.3">
      <c r="A2" s="43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x14ac:dyDescent="0.3">
      <c r="A3" s="10" t="s">
        <v>29</v>
      </c>
      <c r="B3" s="11" t="s">
        <v>30</v>
      </c>
      <c r="C3" s="11" t="s">
        <v>24</v>
      </c>
      <c r="D3" s="12" t="s">
        <v>31</v>
      </c>
      <c r="E3" s="2"/>
      <c r="F3" s="1" t="s">
        <v>32</v>
      </c>
      <c r="G3" s="1" t="s">
        <v>33</v>
      </c>
      <c r="H3" s="2"/>
      <c r="I3" s="2"/>
      <c r="J3" s="2"/>
      <c r="K3" s="2"/>
    </row>
    <row r="4" spans="1:11" x14ac:dyDescent="0.3">
      <c r="A4" s="8" t="str">
        <f>B4&amp;"|"&amp;C4</f>
        <v>Conservador|Papel (CRI)</v>
      </c>
      <c r="B4" s="3" t="s">
        <v>34</v>
      </c>
      <c r="C4" s="3" t="s">
        <v>37</v>
      </c>
      <c r="D4" s="9">
        <v>0.45</v>
      </c>
      <c r="E4" s="2"/>
      <c r="F4" s="35" t="s">
        <v>34</v>
      </c>
      <c r="G4" s="34">
        <f>SUMIF($B$4:$B$21,F4,$D$4:$D$21)</f>
        <v>1</v>
      </c>
      <c r="H4" s="2"/>
      <c r="I4" s="2"/>
      <c r="J4" s="2"/>
      <c r="K4" s="2"/>
    </row>
    <row r="5" spans="1:11" x14ac:dyDescent="0.3">
      <c r="A5" s="8" t="str">
        <f t="shared" ref="A5:A9" si="0">B5&amp;"|"&amp;C5</f>
        <v>Conservador|Lajes corporativas</v>
      </c>
      <c r="B5" s="3" t="s">
        <v>34</v>
      </c>
      <c r="C5" s="3" t="s">
        <v>38</v>
      </c>
      <c r="D5" s="9">
        <v>0.1</v>
      </c>
      <c r="E5" s="2"/>
      <c r="F5" s="36" t="s">
        <v>35</v>
      </c>
      <c r="G5" s="34">
        <f t="shared" ref="G5:G6" si="1">SUMIF($B$4:$B$21,F5,$D$4:$D$21)</f>
        <v>1</v>
      </c>
      <c r="H5" s="2"/>
      <c r="I5" s="2"/>
      <c r="J5" s="2"/>
      <c r="K5" s="2"/>
    </row>
    <row r="6" spans="1:11" x14ac:dyDescent="0.3">
      <c r="A6" s="8" t="str">
        <f t="shared" si="0"/>
        <v>Conservador|Logística</v>
      </c>
      <c r="B6" s="3" t="s">
        <v>34</v>
      </c>
      <c r="C6" s="3" t="s">
        <v>39</v>
      </c>
      <c r="D6" s="9">
        <v>0.2</v>
      </c>
      <c r="E6" s="2"/>
      <c r="F6" s="35" t="s">
        <v>36</v>
      </c>
      <c r="G6" s="34">
        <f t="shared" si="1"/>
        <v>1</v>
      </c>
      <c r="H6" s="2"/>
      <c r="I6" s="2"/>
      <c r="J6" s="2"/>
      <c r="K6" s="2"/>
    </row>
    <row r="7" spans="1:11" x14ac:dyDescent="0.3">
      <c r="A7" s="8" t="str">
        <f t="shared" si="0"/>
        <v>Conservador|Shoppings</v>
      </c>
      <c r="B7" s="3" t="s">
        <v>34</v>
      </c>
      <c r="C7" s="3" t="s">
        <v>40</v>
      </c>
      <c r="D7" s="9">
        <v>0.15</v>
      </c>
      <c r="E7" s="2"/>
      <c r="F7" s="2"/>
      <c r="G7" s="4"/>
      <c r="H7" s="2"/>
      <c r="I7" s="2"/>
      <c r="J7" s="2"/>
      <c r="K7" s="2"/>
    </row>
    <row r="8" spans="1:11" x14ac:dyDescent="0.3">
      <c r="A8" s="8" t="str">
        <f t="shared" si="0"/>
        <v>Conservador|Fundo de fundos (FOF)</v>
      </c>
      <c r="B8" s="3" t="s">
        <v>34</v>
      </c>
      <c r="C8" s="3" t="s">
        <v>45</v>
      </c>
      <c r="D8" s="9">
        <v>0.1</v>
      </c>
      <c r="E8" s="2"/>
      <c r="F8" s="2"/>
      <c r="G8" s="4"/>
      <c r="H8" s="2"/>
      <c r="I8" s="2"/>
      <c r="J8" s="2"/>
      <c r="K8" s="2"/>
    </row>
    <row r="9" spans="1:11" x14ac:dyDescent="0.3">
      <c r="A9" s="8" t="str">
        <f t="shared" si="0"/>
        <v>Conservador|Desenvolvimento</v>
      </c>
      <c r="B9" s="3" t="s">
        <v>34</v>
      </c>
      <c r="C9" s="3" t="s">
        <v>41</v>
      </c>
      <c r="D9" s="9">
        <v>0</v>
      </c>
      <c r="E9" s="2"/>
      <c r="F9" s="2"/>
      <c r="G9" s="4"/>
      <c r="H9" s="2"/>
      <c r="I9" s="2"/>
      <c r="J9" s="2"/>
      <c r="K9" s="2"/>
    </row>
    <row r="10" spans="1:11" x14ac:dyDescent="0.3">
      <c r="A10" s="8" t="str">
        <f>B10&amp;"|"&amp;C10</f>
        <v>Moderado|Papel (CRI)</v>
      </c>
      <c r="B10" s="3" t="s">
        <v>35</v>
      </c>
      <c r="C10" s="3" t="s">
        <v>37</v>
      </c>
      <c r="D10" s="9">
        <v>0.3</v>
      </c>
      <c r="E10" s="2"/>
      <c r="F10" s="2"/>
      <c r="G10" s="4"/>
      <c r="H10" s="2"/>
      <c r="I10" s="2"/>
      <c r="J10" s="2"/>
      <c r="K10" s="2"/>
    </row>
    <row r="11" spans="1:11" x14ac:dyDescent="0.3">
      <c r="A11" s="8" t="str">
        <f t="shared" ref="A11:A15" si="2">B11&amp;"|"&amp;C11</f>
        <v>Moderado|Lajes corporativas</v>
      </c>
      <c r="B11" s="3" t="s">
        <v>35</v>
      </c>
      <c r="C11" s="3" t="s">
        <v>38</v>
      </c>
      <c r="D11" s="9">
        <v>0.1</v>
      </c>
      <c r="E11" s="2"/>
      <c r="F11" s="2"/>
      <c r="G11" s="4"/>
      <c r="H11" s="2"/>
      <c r="I11" s="2"/>
      <c r="J11" s="2"/>
      <c r="K11" s="2"/>
    </row>
    <row r="12" spans="1:11" x14ac:dyDescent="0.3">
      <c r="A12" s="8" t="str">
        <f t="shared" si="2"/>
        <v>Moderado|Logística</v>
      </c>
      <c r="B12" s="3" t="s">
        <v>35</v>
      </c>
      <c r="C12" s="3" t="s">
        <v>39</v>
      </c>
      <c r="D12" s="9">
        <v>0.2</v>
      </c>
      <c r="E12" s="2"/>
      <c r="F12" s="2"/>
      <c r="G12" s="4"/>
      <c r="H12" s="2"/>
      <c r="I12" s="2"/>
      <c r="J12" s="2"/>
      <c r="K12" s="2"/>
    </row>
    <row r="13" spans="1:11" x14ac:dyDescent="0.3">
      <c r="A13" s="8" t="str">
        <f t="shared" si="2"/>
        <v>Moderado|Shoppings</v>
      </c>
      <c r="B13" s="3" t="s">
        <v>35</v>
      </c>
      <c r="C13" s="3" t="s">
        <v>40</v>
      </c>
      <c r="D13" s="9">
        <v>0.2</v>
      </c>
      <c r="E13" s="2"/>
      <c r="F13" s="2"/>
      <c r="G13" s="4"/>
      <c r="H13" s="2"/>
      <c r="I13" s="2"/>
      <c r="J13" s="2"/>
      <c r="K13" s="2"/>
    </row>
    <row r="14" spans="1:11" x14ac:dyDescent="0.3">
      <c r="A14" s="8" t="str">
        <f t="shared" si="2"/>
        <v>Moderado|Fundo de fundos (FOF)</v>
      </c>
      <c r="B14" s="3" t="s">
        <v>35</v>
      </c>
      <c r="C14" s="3" t="s">
        <v>45</v>
      </c>
      <c r="D14" s="9">
        <v>0.1</v>
      </c>
      <c r="E14" s="2"/>
      <c r="F14" s="2"/>
      <c r="G14" s="4"/>
      <c r="H14" s="2"/>
      <c r="I14" s="2"/>
      <c r="J14" s="2"/>
      <c r="K14" s="2"/>
    </row>
    <row r="15" spans="1:11" x14ac:dyDescent="0.3">
      <c r="A15" s="8" t="str">
        <f t="shared" si="2"/>
        <v>Moderado|Desenvolvimento</v>
      </c>
      <c r="B15" s="3" t="s">
        <v>35</v>
      </c>
      <c r="C15" s="3" t="s">
        <v>41</v>
      </c>
      <c r="D15" s="9">
        <v>0.1</v>
      </c>
      <c r="E15" s="2"/>
      <c r="F15" s="2"/>
      <c r="G15" s="4"/>
      <c r="H15" s="2"/>
      <c r="I15" s="2"/>
      <c r="J15" s="2"/>
      <c r="K15" s="2"/>
    </row>
    <row r="16" spans="1:11" x14ac:dyDescent="0.3">
      <c r="A16" s="8" t="str">
        <f>B16&amp;"|"&amp;C16</f>
        <v>Arrojado|Papel (CRI)</v>
      </c>
      <c r="B16" s="3" t="s">
        <v>36</v>
      </c>
      <c r="C16" s="3" t="s">
        <v>37</v>
      </c>
      <c r="D16" s="9">
        <v>0.15</v>
      </c>
      <c r="E16" s="2"/>
      <c r="F16" s="2"/>
      <c r="G16" s="4"/>
      <c r="H16" s="2"/>
      <c r="I16" s="2"/>
      <c r="J16" s="2"/>
      <c r="K16" s="2"/>
    </row>
    <row r="17" spans="1:11" x14ac:dyDescent="0.3">
      <c r="A17" s="8" t="str">
        <f t="shared" ref="A17:A21" si="3">B17&amp;"|"&amp;C17</f>
        <v>Arrojado|Lajes corporativas</v>
      </c>
      <c r="B17" s="3" t="s">
        <v>36</v>
      </c>
      <c r="C17" s="3" t="s">
        <v>38</v>
      </c>
      <c r="D17" s="9">
        <v>0.15</v>
      </c>
      <c r="E17" s="2"/>
      <c r="F17" s="2"/>
      <c r="G17" s="4"/>
      <c r="H17" s="2"/>
      <c r="I17" s="2"/>
      <c r="J17" s="2"/>
      <c r="K17" s="2"/>
    </row>
    <row r="18" spans="1:11" x14ac:dyDescent="0.3">
      <c r="A18" s="8" t="str">
        <f t="shared" si="3"/>
        <v>Arrojado|Logística</v>
      </c>
      <c r="B18" s="3" t="s">
        <v>36</v>
      </c>
      <c r="C18" s="3" t="s">
        <v>39</v>
      </c>
      <c r="D18" s="9">
        <v>0.2</v>
      </c>
      <c r="E18" s="2"/>
      <c r="F18" s="2"/>
      <c r="G18" s="4"/>
      <c r="H18" s="2"/>
      <c r="I18" s="2"/>
      <c r="J18" s="2"/>
      <c r="K18" s="2"/>
    </row>
    <row r="19" spans="1:11" x14ac:dyDescent="0.3">
      <c r="A19" s="8" t="str">
        <f t="shared" si="3"/>
        <v>Arrojado|Shoppings</v>
      </c>
      <c r="B19" s="3" t="s">
        <v>36</v>
      </c>
      <c r="C19" s="3" t="s">
        <v>40</v>
      </c>
      <c r="D19" s="9">
        <v>0.2</v>
      </c>
      <c r="E19" s="2"/>
      <c r="F19" s="2"/>
      <c r="G19" s="4"/>
      <c r="H19" s="2"/>
      <c r="I19" s="2"/>
      <c r="J19" s="2"/>
      <c r="K19" s="2"/>
    </row>
    <row r="20" spans="1:11" x14ac:dyDescent="0.3">
      <c r="A20" s="8" t="str">
        <f t="shared" si="3"/>
        <v>Arrojado|Fundo de fundos (FOF)</v>
      </c>
      <c r="B20" s="3" t="s">
        <v>36</v>
      </c>
      <c r="C20" s="3" t="s">
        <v>45</v>
      </c>
      <c r="D20" s="9">
        <v>0.05</v>
      </c>
      <c r="E20" s="2"/>
      <c r="F20" s="2"/>
      <c r="G20" s="4"/>
      <c r="H20" s="2"/>
      <c r="I20" s="2"/>
      <c r="J20" s="2"/>
      <c r="K20" s="2"/>
    </row>
    <row r="21" spans="1:11" x14ac:dyDescent="0.3">
      <c r="A21" s="13" t="str">
        <f t="shared" si="3"/>
        <v>Arrojado|Desenvolvimento</v>
      </c>
      <c r="B21" s="14" t="s">
        <v>36</v>
      </c>
      <c r="C21" s="14" t="s">
        <v>41</v>
      </c>
      <c r="D21" s="15">
        <v>0.25</v>
      </c>
      <c r="E21" s="2"/>
      <c r="F21" s="2"/>
      <c r="G21" s="4"/>
      <c r="H21" s="2"/>
      <c r="I21" s="2"/>
      <c r="J21" s="2"/>
      <c r="K21" s="2"/>
    </row>
  </sheetData>
  <mergeCells count="2">
    <mergeCell ref="A2:K2"/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Simulador</vt:lpstr>
      <vt:lpstr>Tabela de Apoio</vt:lpstr>
      <vt:lpstr>aporte_mensal</vt:lpstr>
      <vt:lpstr>aporte_sugerido</vt:lpstr>
      <vt:lpstr>dividendo_mensal</vt:lpstr>
      <vt:lpstr>lista_perfis</vt:lpstr>
      <vt:lpstr>meta_renda</vt:lpstr>
      <vt:lpstr>patrimonio_final</vt:lpstr>
      <vt:lpstr>patrimonio_meta</vt:lpstr>
      <vt:lpstr>pct_salario</vt:lpstr>
      <vt:lpstr>perfil_escolhido</vt:lpstr>
      <vt:lpstr>Perfis</vt:lpstr>
      <vt:lpstr>prazo_anos</vt:lpstr>
      <vt:lpstr>rendimento_carteira</vt:lpstr>
      <vt:lpstr>salario</vt:lpstr>
      <vt:lpstr>Salário_mensal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Jakeline Martins</dc:creator>
  <cp:lastModifiedBy>Jakeline Martins</cp:lastModifiedBy>
  <dcterms:created xsi:type="dcterms:W3CDTF">2026-10-03T17:34:49Z</dcterms:created>
  <dcterms:modified xsi:type="dcterms:W3CDTF">2026-10-07T16:18:24Z</dcterms:modified>
</cp:coreProperties>
</file>